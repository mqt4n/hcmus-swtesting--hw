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HCMUS\NAM3-HK3\Testing\Homework\HW1\hcmus-swtesting--hw\"/>
    </mc:Choice>
  </mc:AlternateContent>
  <xr:revisionPtr revIDLastSave="0" documentId="13_ncr:1_{D9D10590-2536-4A7F-BA80-93734D95040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ecklist" sheetId="2" r:id="rId1"/>
    <sheet name="TestCase" sheetId="1" r:id="rId2"/>
    <sheet name="TestSummary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3" l="1"/>
  <c r="J8" i="3"/>
  <c r="J9" i="3"/>
  <c r="J10" i="3"/>
  <c r="J11" i="3"/>
  <c r="J12" i="3"/>
  <c r="J13" i="3"/>
  <c r="J14" i="3"/>
  <c r="J15" i="3"/>
  <c r="J16" i="3"/>
  <c r="J17" i="3"/>
  <c r="I8" i="3"/>
  <c r="I9" i="3"/>
  <c r="I10" i="3"/>
  <c r="I11" i="3"/>
  <c r="I12" i="3"/>
  <c r="I13" i="3"/>
  <c r="I14" i="3"/>
  <c r="I15" i="3"/>
  <c r="I16" i="3"/>
  <c r="I17" i="3"/>
  <c r="H8" i="3"/>
  <c r="H9" i="3"/>
  <c r="H10" i="3"/>
  <c r="H11" i="3"/>
  <c r="H12" i="3"/>
  <c r="H13" i="3"/>
  <c r="H14" i="3"/>
  <c r="H15" i="3"/>
  <c r="H16" i="3"/>
  <c r="H17" i="3"/>
  <c r="G8" i="3"/>
  <c r="G9" i="3"/>
  <c r="G10" i="3"/>
  <c r="G11" i="3"/>
  <c r="G12" i="3"/>
  <c r="G13" i="3"/>
  <c r="G14" i="3"/>
  <c r="G15" i="3"/>
  <c r="G16" i="3"/>
  <c r="G17" i="3"/>
  <c r="F8" i="3"/>
  <c r="F9" i="3"/>
  <c r="F10" i="3"/>
  <c r="F11" i="3"/>
  <c r="F12" i="3"/>
  <c r="F13" i="3"/>
  <c r="F14" i="3"/>
  <c r="F15" i="3"/>
  <c r="F16" i="3"/>
  <c r="F17" i="3"/>
  <c r="F7" i="3"/>
  <c r="G7" i="3"/>
  <c r="H7" i="3"/>
  <c r="I7" i="3"/>
  <c r="E7" i="3"/>
  <c r="K7" i="3" s="1"/>
  <c r="K18" i="3" s="1"/>
  <c r="E8" i="3"/>
  <c r="K8" i="3" s="1"/>
  <c r="E9" i="3"/>
  <c r="K9" i="3" s="1"/>
  <c r="E10" i="3"/>
  <c r="K10" i="3" s="1"/>
  <c r="E11" i="3"/>
  <c r="K11" i="3" s="1"/>
  <c r="E12" i="3"/>
  <c r="K12" i="3" s="1"/>
  <c r="E13" i="3"/>
  <c r="K13" i="3" s="1"/>
  <c r="E14" i="3"/>
  <c r="K14" i="3" s="1"/>
  <c r="E15" i="3"/>
  <c r="K15" i="3" s="1"/>
  <c r="E16" i="3"/>
  <c r="K16" i="3" s="1"/>
  <c r="E17" i="3"/>
  <c r="K17" i="3" s="1"/>
  <c r="D13" i="3" l="1"/>
  <c r="L13" i="3" s="1"/>
  <c r="J18" i="3"/>
  <c r="D12" i="3"/>
  <c r="L12" i="3" s="1"/>
  <c r="D11" i="3"/>
  <c r="L11" i="3" s="1"/>
  <c r="D10" i="3"/>
  <c r="L10" i="3" s="1"/>
  <c r="D8" i="3"/>
  <c r="L8" i="3" s="1"/>
  <c r="D16" i="3"/>
  <c r="L16" i="3" s="1"/>
  <c r="D15" i="3"/>
  <c r="L15" i="3" s="1"/>
  <c r="D9" i="3"/>
  <c r="L9" i="3" s="1"/>
  <c r="D17" i="3"/>
  <c r="L17" i="3" s="1"/>
  <c r="D14" i="3"/>
  <c r="L14" i="3" s="1"/>
  <c r="E18" i="3"/>
  <c r="D7" i="3"/>
  <c r="L7" i="3" s="1"/>
  <c r="H18" i="3"/>
  <c r="G18" i="3"/>
  <c r="F18" i="3"/>
  <c r="I18" i="3"/>
  <c r="L18" i="3" l="1"/>
  <c r="D18" i="3"/>
</calcChain>
</file>

<file path=xl/sharedStrings.xml><?xml version="1.0" encoding="utf-8"?>
<sst xmlns="http://schemas.openxmlformats.org/spreadsheetml/2006/main" count="254" uniqueCount="157">
  <si>
    <t>Đầu vào (Input)</t>
  </si>
  <si>
    <t>Các bước thực hiện (Steps)</t>
  </si>
  <si>
    <t>TC01</t>
  </si>
  <si>
    <t>TC02</t>
  </si>
  <si>
    <t>TC03</t>
  </si>
  <si>
    <t>TC04</t>
  </si>
  <si>
    <t>TC05</t>
  </si>
  <si>
    <t>TC06</t>
  </si>
  <si>
    <t>TC07</t>
  </si>
  <si>
    <t>TC08</t>
  </si>
  <si>
    <t>1. Rút phích cắm điện ra khỏi ổ cắm.</t>
  </si>
  <si>
    <t>TC09</t>
  </si>
  <si>
    <t>TC10</t>
  </si>
  <si>
    <t>TC11</t>
  </si>
  <si>
    <t>TC12</t>
  </si>
  <si>
    <t>TC13</t>
  </si>
  <si>
    <t>TC14</t>
  </si>
  <si>
    <t>TC15</t>
  </si>
  <si>
    <t>TC ID</t>
  </si>
  <si>
    <t>Mục tiêu (Objective)</t>
  </si>
  <si>
    <t>Kết quả mong đợi (Expected Result)</t>
  </si>
  <si>
    <t>Kết quả thực tế</t>
  </si>
  <si>
    <t>Phán quyết</t>
  </si>
  <si>
    <t>Kiểm tra trạng thái mặc định khi mới cắm điện.</t>
  </si>
  <si>
    <t>Nguồn điện 220V, quạt đang ở trạng thái Tắt (Nút 0).</t>
  </si>
  <si>
    <t>Quạt không hoạt động, không có tiếng động cơ hay hiện tượng kẹt điện.</t>
  </si>
  <si>
    <t>Kiểm tra khởi động quạt ở tốc độ 1.</t>
  </si>
  <si>
    <t>Quạt đã cắm điện, đang tắt.</t>
  </si>
  <si>
    <t>1. Nhấn nút số 1.</t>
  </si>
  <si>
    <t>Kiểm tra khởi động quạt ở tốc độ 2.</t>
  </si>
  <si>
    <t>1. Nhấn nút số 2.</t>
  </si>
  <si>
    <t>Nút 2 lún xuống. Quạt bắt đầu quay với tốc độ trung bình.</t>
  </si>
  <si>
    <t>Kiểm tra khởi động quạt ở tốc độ 3.</t>
  </si>
  <si>
    <t>1. Nhấn nút số 3.</t>
  </si>
  <si>
    <t>Nút 3 lún xuống. Quạt bắt đầu quay với tốc độ mạnh nhất.</t>
  </si>
  <si>
    <t>Kiểm tra chuyển đổi từ tốc độ thấp lên cao.</t>
  </si>
  <si>
    <t>Quạt đang chạy ở tốc độ 1.</t>
  </si>
  <si>
    <t>Nút 1 nảy lên, nút 3 lún xuống. Tốc độ quạt tăng rõ rệt từ nhẹ lên mạnh.</t>
  </si>
  <si>
    <t>Kiểm tra chuyển đổi từ tốc độ cao xuống thấp.</t>
  </si>
  <si>
    <t>Quạt đang chạy ở tốc độ 3.</t>
  </si>
  <si>
    <t>Nút 3 nảy lên, nút 1 lún xuống. Tốc độ quạt giảm dần từ mạnh xuống nhẹ.</t>
  </si>
  <si>
    <t>Kiểm tra tắt quạt khi đang hoạt động.</t>
  </si>
  <si>
    <t>Quạt đang chạy ở bất kỳ tốc độ nào.</t>
  </si>
  <si>
    <t>1. Nhấn nút số 0.</t>
  </si>
  <si>
    <t>Nút tốc độ đang bật nảy lên. Động cơ ngắt điện, cánh quạt giảm tốc dần và dừng hẳn.</t>
  </si>
  <si>
    <t>Kiểm tra ngoại lệ: Nhấn 2 nút tốc độ cùng lúc.</t>
  </si>
  <si>
    <t>Quạt đã cắm điện.</t>
  </si>
  <si>
    <t>1. Nhấn đồng thời nút 1 và nút 2 cùng lúc.</t>
  </si>
  <si>
    <t>Cơ chế cơ học không cho phép cả 2 nút cùng kẹt lại, hoặc quạt chỉ nhận 1 mức tốc độ, không xảy ra chập cháy.</t>
  </si>
  <si>
    <t>Kiểm tra tính năng xoay (Oscillation) khi quạt đang chạy.</t>
  </si>
  <si>
    <t>Quạt đang chạy ở tốc độ 2, tuốc năng đang kéo lên (đứng yên).</t>
  </si>
  <si>
    <t>1. Nhấn tuốc năng (chốt xoay) xuống.</t>
  </si>
  <si>
    <t>Bầu quạt bắt đầu chuyển động xoay đều từ trái sang phải và ngược lại.</t>
  </si>
  <si>
    <t>Kiểm tra tắt tính năng xoay.</t>
  </si>
  <si>
    <t>Quạt đang chạy, đang xoay qua lại.</t>
  </si>
  <si>
    <t>1. Kéo tuốc năng (chốt xoay) lên.</t>
  </si>
  <si>
    <t>Quạt ngừng xoay ngay lập tức và giữ nguyên hướng gió tại thời điểm kéo chốt. Cánh quạt vẫn quay bình thường.</t>
  </si>
  <si>
    <t>Kiểm tra thao tác với chốt xoay khi quạt tắt.</t>
  </si>
  <si>
    <t>Quạt đang tắt (nút 0).</t>
  </si>
  <si>
    <t>Kiểm tra xử lý sự cố mất điện đột ngột.</t>
  </si>
  <si>
    <t>Quạt đang chạy ở tốc độ 3, đang xoay.</t>
  </si>
  <si>
    <t>Động cơ ngắt lập tức, quạt ngừng quay, ngừng xoay. Nút số 3 và chốt xoay vẫn giữ nguyên trạng thái bị nhấn xuống.</t>
  </si>
  <si>
    <t>Kiểm tra phục hồi sau khi có điện lại.</t>
  </si>
  <si>
    <t>Quạt đang ở trạng thái như TC12 (rút điện nhưng nút 3 đang bật).</t>
  </si>
  <si>
    <t>1. Cắm phích cắm trở lại ổ điện.</t>
  </si>
  <si>
    <t>Quạt lập tức quay ở tốc độ 3 và tiếp tục xoay qua lại mà không cần nhấn nút lại.</t>
  </si>
  <si>
    <t>Kiểm tra độ rung lắc (Physical Stability).</t>
  </si>
  <si>
    <t>Đặt quạt trên mặt phẳng cứng.</t>
  </si>
  <si>
    <t>Quạt hoạt động êm ái, đế quạt không bị xê dịch khỏi vị trí ban đầu do lực rung của động cơ.</t>
  </si>
  <si>
    <t>Kiểm tra độ bền mỏi (Stress Test cơ bản).</t>
  </si>
  <si>
    <t>Môi trường nhiệt độ phòng bình thường.</t>
  </si>
  <si>
    <t>Quạt vẫn hoạt động bình thường, không có mùi khét, phần hộp động cơ nóng ở mức cho phép, không phát ra tiếng kêu lạ.</t>
  </si>
  <si>
    <t>1. Cắm phích cắm vào ổ điện.
2. Quan sát quạt.</t>
  </si>
  <si>
    <t>1. Nhấn chốt xoay xuống.
2. Nhấn nút số 1 để bật.</t>
  </si>
  <si>
    <t>1. Bật quạt ở tốc độ 3 (mạnh nhất).
2. Quan sát độ rung của đế quạt.</t>
  </si>
  <si>
    <t>1. Bật quạt ở tốc độ 3.
2. Để quạt chạy liên tục trong 8 giờ.</t>
  </si>
  <si>
    <t>1. Quạt không xoay khi đang tắt.
2. Khi bật lên, quạt quay và lập tức bắt đầu xoay qua lại.</t>
  </si>
  <si>
    <t>TEST SUMMARY REPORT</t>
  </si>
  <si>
    <t>STT</t>
  </si>
  <si>
    <t>Hạng mục kiểm tra (Test Item)</t>
  </si>
  <si>
    <t>Tiêu chí đánh giá (Criteria)</t>
  </si>
  <si>
    <t>Ghi chú (Notes)</t>
  </si>
  <si>
    <t>Ngoại quan &amp; An toàn</t>
  </si>
  <si>
    <t>Cấp nguồn</t>
  </si>
  <si>
    <t>Nhận điện ổn định khi cắm phích cắm.</t>
  </si>
  <si>
    <t>Nút số 0 (Tắt)</t>
  </si>
  <si>
    <t>Ngắt hoàn toàn động cơ khi được nhấn.</t>
  </si>
  <si>
    <t>Nút số 1 (Tốc độ 1)</t>
  </si>
  <si>
    <t>Quạt chạy ở mức gió nhẹ, nút không bị kẹt.</t>
  </si>
  <si>
    <t>Nút số 2 (Tốc độ 2)</t>
  </si>
  <si>
    <t>Quạt chạy ở mức gió trung bình, nút nhảy chính xác.</t>
  </si>
  <si>
    <t>Nút số 3 (Tốc độ 3)</t>
  </si>
  <si>
    <t>Quạt chạy ở mức gió mạnh, không rung lắc bệ đỡ.</t>
  </si>
  <si>
    <t>Tuốc năng xoay (Bật)</t>
  </si>
  <si>
    <t>Quạt quay đều góc ~90 độ đến 120 độ khi nhấn chốt.</t>
  </si>
  <si>
    <t>Tuốc năng xoay (Tắt)</t>
  </si>
  <si>
    <t>Quạt đứng yên cố định hướng gió khi kéo chốt.</t>
  </si>
  <si>
    <t>Cơ chế khoá liên động</t>
  </si>
  <si>
    <t>Các nút bấm tốc độ nảy nhịp nhàng, không bị kẹt dính 2 nút cùng lúc.</t>
  </si>
  <si>
    <t>Kiểm tra chịu tải</t>
  </si>
  <si>
    <t>Hoạt động liên tục nhiều giờ không có mùi khét/cháy nổ.</t>
  </si>
  <si>
    <t>Dự án</t>
  </si>
  <si>
    <t>Phiên bản</t>
  </si>
  <si>
    <t>Quạt điện</t>
  </si>
  <si>
    <t>Mạch Quốc Tấn</t>
  </si>
  <si>
    <t>v1.0.0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</si>
  <si>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</si>
  <si>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</si>
  <si>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</si>
  <si>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</si>
  <si>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</si>
  <si>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</si>
  <si>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</si>
  <si>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</si>
  <si>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</si>
  <si>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</si>
  <si>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Đã kiểm thử</t>
  </si>
  <si>
    <t>Đạt</t>
  </si>
  <si>
    <t>Lỗi</t>
  </si>
  <si>
    <t>Bị chặn</t>
  </si>
  <si>
    <t>Bỏ qua</t>
  </si>
  <si>
    <t>Chưa kiểm thử</t>
  </si>
  <si>
    <t>Tổng số</t>
  </si>
  <si>
    <t>Tỷ lệ bao phủ kiểm thử</t>
  </si>
  <si>
    <t>Ngày bắt đầu</t>
  </si>
  <si>
    <t>Ghi chú</t>
  </si>
  <si>
    <t>Tổng</t>
  </si>
  <si>
    <t>Đúng mong đợi</t>
  </si>
  <si>
    <t>Người kiểm thử</t>
  </si>
  <si>
    <t>RID</t>
  </si>
  <si>
    <t>Cấu trúc chắc chắn, lồng quạt khít, dây điện không hở, không xảy ra sự cố khi mất điện.</t>
  </si>
  <si>
    <t>R11</t>
  </si>
  <si>
    <t>Trải nghiệm sử dụng</t>
  </si>
  <si>
    <t>Quạt không gây ồn ào, rung lắc trong lúc hoạt động. Âm thanh ở ngưỡng chấp nhận được với mọi người.</t>
  </si>
  <si>
    <t>Trạng thái (Đạt/Lỗi/Chưa kiểm thử)</t>
  </si>
  <si>
    <t>TC16</t>
  </si>
  <si>
    <t>TC17</t>
  </si>
  <si>
    <t>TC18</t>
  </si>
  <si>
    <t>Kiểm tra độ an toàn của quạt thông qua lồng quạt</t>
  </si>
  <si>
    <t>Kiểm tra các khớp nối của quạt khi lắp rắp lồng quạt</t>
  </si>
  <si>
    <t>Kiểm tra tay xách trên quạt dùng để di chuyển quạt.</t>
  </si>
  <si>
    <t>Quạt chưa cắm điện.</t>
  </si>
  <si>
    <t>1. Tháo lồng quạt ra khỏi quạt.
2. Lắp rắp lại lồng quạt vào quạt.</t>
  </si>
  <si>
    <t>Lắp rắp thành công về hiện trạng ban đầu, không có tình trạng lỏng lẻo.</t>
  </si>
  <si>
    <t>Các ngón tay sẽ không thể dễ dàng đi qua lồng quạt nếu không dùng lực.</t>
  </si>
  <si>
    <t>1. Đưa các ngón tay lần lượt chạm vào các khe của lồng quạt.</t>
  </si>
  <si>
    <t>1. Dùng tay nắm thử tay xách trên lồng quạt.
2. Di chuyển quạt khỏi vị trí ban đầu.</t>
  </si>
  <si>
    <t>Quạt được di chuyển ổn định, không có tình trạng rơi rớt linh kiện, tay xách chắc chắn khi di chuyển quạt.</t>
  </si>
  <si>
    <t>TC19</t>
  </si>
  <si>
    <t>1. Quan sát quạt lúc chưa hoạt động.</t>
  </si>
  <si>
    <t>Quạt có logo được căn chỉnh thẳng hàng.</t>
  </si>
  <si>
    <t>Logo của quạt hiện đang bị lệch so với phương thẳng đứng 90 độ sang phải</t>
  </si>
  <si>
    <t>Hình ảnh mặt trước của lồng quạt được căn chỉnh thẳng</t>
  </si>
  <si>
    <t>Nút 1 giữ nguyên trạng thái lún xuống. Quạt bắt đầu quay với tốc độ nhẹ nhất.</t>
  </si>
  <si>
    <t>Tỉ lệ đạt</t>
  </si>
  <si>
    <t>Khi ấn chưa đủ sâu, quạt hoạt động, khi không ấn nữa, nút nảy lên và quạt tắt.</t>
  </si>
  <si>
    <t>Khi ấn chưa đủ sâu, cả 2 nút đều nảy lên và quạt tắt.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</si>
</sst>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Calibri"/>
      <family val="2"/>
    </font>
    <font>
      <b/>
      <sz val="11"/>
      <color rgb="FF974806"/>
      <name val="Calibri"/>
      <family val="2"/>
    </font>
    <font>
      <sz val="11"/>
      <color rgb="FF000000"/>
      <name val="Calibri"/>
      <family val="2"/>
    </font>
    <font>
      <b/>
      <sz val="11"/>
      <color rgb="FF953734"/>
      <name val="Calibri"/>
      <family val="2"/>
    </font>
    <font>
      <b/>
      <i/>
      <sz val="11"/>
      <color rgb="FF000000"/>
      <name val="Calibri"/>
      <family val="2"/>
    </font>
    <font>
      <b/>
      <sz val="11"/>
      <color rgb="FF3366FF"/>
      <name val="Calibri"/>
      <family val="2"/>
    </font>
    <font>
      <b/>
      <sz val="12"/>
      <color rgb="FFFF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1"/>
      <name val="Calibri"/>
      <family val="2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 wrapText="1"/>
    </xf>
    <xf numFmtId="9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9" fontId="15" fillId="0" borderId="6" xfId="1" applyFont="1" applyBorder="1" applyAlignment="1">
      <alignment horizontal="center" vertical="center" wrapText="1"/>
    </xf>
    <xf numFmtId="9" fontId="16" fillId="0" borderId="6" xfId="1" applyFont="1" applyBorder="1" applyAlignment="1">
      <alignment horizontal="center" vertical="center"/>
    </xf>
    <xf numFmtId="9" fontId="16" fillId="0" borderId="6" xfId="1" applyFont="1" applyBorder="1" applyAlignment="1">
      <alignment horizontal="center" vertical="center" wrapText="1"/>
    </xf>
    <xf numFmtId="9" fontId="16" fillId="0" borderId="6" xfId="1" applyFont="1" applyFill="1" applyBorder="1" applyAlignment="1">
      <alignment horizontal="center" vertical="center" wrapText="1"/>
    </xf>
    <xf numFmtId="9" fontId="16" fillId="0" borderId="9" xfId="1" applyFont="1" applyBorder="1" applyAlignment="1">
      <alignment horizontal="center" vertical="center" wrapText="1"/>
    </xf>
    <xf numFmtId="9" fontId="2" fillId="0" borderId="0" xfId="1" applyFont="1" applyBorder="1" applyAlignment="1">
      <alignment vertical="center" wrapText="1"/>
    </xf>
    <xf numFmtId="9" fontId="10" fillId="0" borderId="4" xfId="1" applyFont="1" applyBorder="1" applyAlignment="1">
      <alignment horizontal="center" vertical="center"/>
    </xf>
    <xf numFmtId="9" fontId="9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9" fontId="10" fillId="0" borderId="4" xfId="1" applyFont="1" applyBorder="1" applyAlignment="1">
      <alignment horizontal="center" vertical="center" wrapText="1"/>
    </xf>
    <xf numFmtId="9" fontId="9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hiết kế 15 ca kiểm thử cho thi-style" pivot="0" count="4" xr9:uid="{00000000-0011-0000-FFFF-FFFF00000000}">
      <tableStyleElement type="wholeTable" size="0" dxfId="44"/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567F9D-2CAB-4FCA-9A5D-0A8B6D6BA295}" name="Table3" displayName="Table3" ref="A1:F12" totalsRowShown="0" headerRowDxfId="40" dataDxfId="38" headerRowBorderDxfId="39" tableBorderDxfId="37" totalsRowBorderDxfId="36">
  <tableColumns count="6">
    <tableColumn id="1" xr3:uid="{3C5791DB-6C0F-4E5A-AB7C-91A2C40130B7}" name="STT" dataDxfId="35"/>
    <tableColumn id="6" xr3:uid="{F8D84CD4-9DE6-4220-9A24-6FF4A0159171}" name="RID" dataDxfId="34"/>
    <tableColumn id="2" xr3:uid="{F1F00CFF-E5B3-4CCF-90E1-5A6F806BAC0F}" name="Hạng mục kiểm tra (Test Item)" dataDxfId="33"/>
    <tableColumn id="3" xr3:uid="{DD3830D0-8A2D-4B03-A570-160921F2AA96}" name="Tiêu chí đánh giá (Criteria)" dataDxfId="32"/>
    <tableColumn id="4" xr3:uid="{18BAB6C2-1F39-487C-9D1F-D24F8D7E6F5D}" name="Trạng thái (Đạt/Lỗi/Chưa kiểm thử)" dataDxfId="31"/>
    <tableColumn id="5" xr3:uid="{7CB83859-16D8-4221-BA07-A379AFB28ED3}" name="Ghi chú (Notes)" dataDxfId="3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H20" headerRowDxfId="29" dataDxfId="27" totalsRowDxfId="25" headerRowBorderDxfId="28" tableBorderDxfId="26">
  <tableColumns count="8">
    <tableColumn id="1" xr3:uid="{00000000-0010-0000-0000-000001000000}" name="TC ID" dataDxfId="24"/>
    <tableColumn id="8" xr3:uid="{B2EF7E23-52F0-4DFD-A60C-2827D797142E}" name="RID" dataDxfId="23"/>
    <tableColumn id="2" xr3:uid="{00000000-0010-0000-0000-000002000000}" name="Mục tiêu (Objective)" dataDxfId="22"/>
    <tableColumn id="3" xr3:uid="{00000000-0010-0000-0000-000003000000}" name="Đầu vào (Input)" dataDxfId="21"/>
    <tableColumn id="4" xr3:uid="{00000000-0010-0000-0000-000004000000}" name="Các bước thực hiện (Steps)" dataDxfId="20"/>
    <tableColumn id="5" xr3:uid="{00000000-0010-0000-0000-000005000000}" name="Kết quả mong đợi (Expected Result)" dataDxfId="19"/>
    <tableColumn id="6" xr3:uid="{00000000-0010-0000-0000-000006000000}" name="Kết quả thực tế" dataDxfId="18"/>
    <tableColumn id="7" xr3:uid="{00000000-0010-0000-0000-000007000000}" name="Phán quyết" dataDxfId="17"/>
  </tableColumns>
  <tableStyleInfo name="TableStyleMedium5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C9EAE7-AC97-4DD1-A154-888F1FB4BEFA}" name="Table2" displayName="Table2" ref="A6:L17" totalsRowShown="0" headerRowDxfId="16" dataDxfId="14" headerRowBorderDxfId="15" tableBorderDxfId="13" totalsRowBorderDxfId="12">
  <tableColumns count="12">
    <tableColumn id="1" xr3:uid="{49884735-CCC1-4BD7-B679-57EFDEE1B873}" name="STT" dataDxfId="11"/>
    <tableColumn id="2" xr3:uid="{F0132FA5-F617-4118-8E9E-0CE25F8C6811}" name="RID" dataDxfId="10"/>
    <tableColumn id="3" xr3:uid="{277C1ABC-C146-4C09-AC61-57646170DB51}" name="Hạng mục kiểm tra (Test Item)" dataDxfId="9"/>
    <tableColumn id="4" xr3:uid="{6FEF73D1-C36A-4349-BB48-6A9E1F644E19}" name="Đã kiểm thử" dataDxfId="8">
      <calculatedColumnFormula>SUM(Table2[[#This Row],[Đạt]:[Chưa kiểm thử]])</calculatedColumnFormula>
    </tableColumn>
    <tableColumn id="5" xr3:uid="{A1388D59-3F7A-459D-A98F-CBB32D295402}" name="Đạt" dataDxfId="7">
      <calculatedColumnFormula>COUNTIFS(TestCase!$B:$B,$B7,TestCase!$H:$H,Table2[[#Headers],[Đạt]])</calculatedColumnFormula>
    </tableColumn>
    <tableColumn id="6" xr3:uid="{7C5A90F6-79BF-4775-ADD0-1D11CD9BD8ED}" name="Lỗi" dataDxfId="6">
      <calculatedColumnFormula>COUNTIFS(TestCase!$B:$B,$B7,TestCase!$H:$H,Table2[[#Headers],[Lỗi]])</calculatedColumnFormula>
    </tableColumn>
    <tableColumn id="7" xr3:uid="{07DBE95F-C35C-48C2-8AF4-D5D18FE6956C}" name="Bị chặn" dataDxfId="5">
      <calculatedColumnFormula>COUNTIFS(TestCase!$B:$B,$B7,TestCase!$H:$H,Table2[[#Headers],[Bị chặn]])</calculatedColumnFormula>
    </tableColumn>
    <tableColumn id="8" xr3:uid="{872DA6F7-C613-4D17-B950-879C68C219D0}" name="Bỏ qua" dataDxfId="4">
      <calculatedColumnFormula>COUNTIFS(TestCase!$B:$B,$B7,TestCase!$H:$H,Table2[[#Headers],[Bỏ qua]])</calculatedColumnFormula>
    </tableColumn>
    <tableColumn id="9" xr3:uid="{D7A01FF9-3A8E-4885-BB27-B0F0D4941080}" name="Chưa kiểm thử" dataDxfId="3">
      <calculatedColumnFormula>COUNTIFS(TestCase!$B:$B,$B7,TestCase!$H:$H,Table2[[#Headers],[Chưa kiểm thử]])</calculatedColumnFormula>
    </tableColumn>
    <tableColumn id="10" xr3:uid="{1F22DA7D-042C-48DC-8E53-8D59E4E6F441}" name="Tổng số" dataDxfId="2">
      <calculatedColumnFormula>COUNTIF(TestCase!B:B,$B7)</calculatedColumnFormula>
    </tableColumn>
    <tableColumn id="12" xr3:uid="{5C59C258-2CB4-4440-AE6F-55524CA259EB}" name="Tỉ lệ đạt" dataDxfId="0" dataCellStyle="Percent">
      <calculatedColumnFormula>Table2[[#This Row],[Đạt]]/Table2[[#This Row],[Tổng số]]</calculatedColumnFormula>
    </tableColumn>
    <tableColumn id="11" xr3:uid="{80D9D4B5-53AF-4AC2-B1CE-1C03BF17879B}" name="Tỷ lệ bao phủ kiểm thử" dataDxfId="1" dataCellStyle="Percent">
      <calculatedColumnFormula>Table2[[#This Row],[Đã kiểm thử]]/Table2[[#This Row],[Tổng số]]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73C0-02E1-4762-A2EC-CD319BCEC03A}">
  <dimension ref="A1:AA1000"/>
  <sheetViews>
    <sheetView workbookViewId="0">
      <selection activeCell="C29" sqref="C29"/>
    </sheetView>
  </sheetViews>
  <sheetFormatPr defaultColWidth="12.6640625" defaultRowHeight="13.2" x14ac:dyDescent="0.25"/>
  <cols>
    <col min="1" max="1" width="7.109375" customWidth="1"/>
    <col min="2" max="2" width="7.88671875" customWidth="1"/>
    <col min="3" max="3" width="33.88671875" customWidth="1"/>
    <col min="4" max="4" width="49.33203125" customWidth="1"/>
    <col min="5" max="5" width="33" customWidth="1"/>
    <col min="6" max="6" width="43.77734375" customWidth="1"/>
    <col min="7" max="7" width="25.88671875" customWidth="1"/>
    <col min="8" max="8" width="23.44140625" customWidth="1"/>
  </cols>
  <sheetData>
    <row r="1" spans="1:27" s="5" customFormat="1" x14ac:dyDescent="0.25">
      <c r="A1" s="51" t="s">
        <v>78</v>
      </c>
      <c r="B1" s="37" t="s">
        <v>129</v>
      </c>
      <c r="C1" s="37" t="s">
        <v>79</v>
      </c>
      <c r="D1" s="37" t="s">
        <v>80</v>
      </c>
      <c r="E1" s="37" t="s">
        <v>134</v>
      </c>
      <c r="F1" s="52" t="s">
        <v>81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6.4" x14ac:dyDescent="0.25">
      <c r="A2" s="21">
        <v>1</v>
      </c>
      <c r="B2" s="55" t="s">
        <v>106</v>
      </c>
      <c r="C2" s="22" t="s">
        <v>82</v>
      </c>
      <c r="D2" s="22" t="s">
        <v>130</v>
      </c>
      <c r="E2" s="55" t="s">
        <v>118</v>
      </c>
      <c r="F2" s="23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1">
        <v>2</v>
      </c>
      <c r="B3" s="55" t="s">
        <v>107</v>
      </c>
      <c r="C3" s="22" t="s">
        <v>83</v>
      </c>
      <c r="D3" s="22" t="s">
        <v>84</v>
      </c>
      <c r="E3" s="55" t="s">
        <v>117</v>
      </c>
      <c r="F3" s="23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1">
        <v>3</v>
      </c>
      <c r="B4" s="55" t="s">
        <v>108</v>
      </c>
      <c r="C4" s="22" t="s">
        <v>85</v>
      </c>
      <c r="D4" s="22" t="s">
        <v>86</v>
      </c>
      <c r="E4" s="55" t="s">
        <v>117</v>
      </c>
      <c r="F4" s="23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21">
        <v>4</v>
      </c>
      <c r="B5" s="55" t="s">
        <v>109</v>
      </c>
      <c r="C5" s="22" t="s">
        <v>87</v>
      </c>
      <c r="D5" s="22" t="s">
        <v>88</v>
      </c>
      <c r="E5" s="55" t="s">
        <v>118</v>
      </c>
      <c r="F5" s="23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21">
        <v>5</v>
      </c>
      <c r="B6" s="55" t="s">
        <v>110</v>
      </c>
      <c r="C6" s="22" t="s">
        <v>89</v>
      </c>
      <c r="D6" s="22" t="s">
        <v>90</v>
      </c>
      <c r="E6" s="55" t="s">
        <v>118</v>
      </c>
      <c r="F6" s="23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21">
        <v>6</v>
      </c>
      <c r="B7" s="55" t="s">
        <v>111</v>
      </c>
      <c r="C7" s="22" t="s">
        <v>91</v>
      </c>
      <c r="D7" s="22" t="s">
        <v>92</v>
      </c>
      <c r="E7" s="55" t="s">
        <v>118</v>
      </c>
      <c r="F7" s="23"/>
      <c r="G7" s="2"/>
      <c r="H7" s="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21">
        <v>7</v>
      </c>
      <c r="B8" s="55" t="s">
        <v>112</v>
      </c>
      <c r="C8" s="22" t="s">
        <v>93</v>
      </c>
      <c r="D8" s="22" t="s">
        <v>94</v>
      </c>
      <c r="E8" s="55" t="s">
        <v>117</v>
      </c>
      <c r="F8" s="23"/>
      <c r="G8" s="2"/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21">
        <v>8</v>
      </c>
      <c r="B9" s="55" t="s">
        <v>113</v>
      </c>
      <c r="C9" s="22" t="s">
        <v>95</v>
      </c>
      <c r="D9" s="22" t="s">
        <v>96</v>
      </c>
      <c r="E9" s="55" t="s">
        <v>117</v>
      </c>
      <c r="F9" s="23"/>
      <c r="G9" s="2"/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6.4" x14ac:dyDescent="0.25">
      <c r="A10" s="21">
        <v>9</v>
      </c>
      <c r="B10" s="55" t="s">
        <v>114</v>
      </c>
      <c r="C10" s="22" t="s">
        <v>97</v>
      </c>
      <c r="D10" s="22" t="s">
        <v>98</v>
      </c>
      <c r="E10" s="55" t="s">
        <v>117</v>
      </c>
      <c r="F10" s="23"/>
      <c r="G10" s="2"/>
      <c r="H10" s="2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24">
        <v>10</v>
      </c>
      <c r="B11" s="56" t="s">
        <v>115</v>
      </c>
      <c r="C11" s="25" t="s">
        <v>99</v>
      </c>
      <c r="D11" s="25" t="s">
        <v>100</v>
      </c>
      <c r="E11" s="55" t="s">
        <v>117</v>
      </c>
      <c r="F11" s="26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6.4" x14ac:dyDescent="0.25">
      <c r="A12" s="24">
        <v>11</v>
      </c>
      <c r="B12" s="56" t="s">
        <v>131</v>
      </c>
      <c r="C12" s="25" t="s">
        <v>132</v>
      </c>
      <c r="D12" s="25" t="s">
        <v>133</v>
      </c>
      <c r="E12" s="55" t="s">
        <v>117</v>
      </c>
      <c r="F12" s="26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1" topLeftCell="A12" activePane="bottomLeft" state="frozen"/>
      <selection pane="bottomLeft" activeCell="E25" sqref="E25"/>
    </sheetView>
  </sheetViews>
  <sheetFormatPr defaultColWidth="12.6640625" defaultRowHeight="13.2" x14ac:dyDescent="0.25"/>
  <cols>
    <col min="1" max="2" width="11.77734375" customWidth="1"/>
    <col min="3" max="3" width="33.88671875" customWidth="1"/>
    <col min="4" max="4" width="31" customWidth="1"/>
    <col min="5" max="5" width="34.33203125" customWidth="1"/>
    <col min="6" max="6" width="43.77734375" customWidth="1"/>
    <col min="7" max="7" width="25.88671875" customWidth="1"/>
    <col min="8" max="8" width="23.44140625" customWidth="1"/>
  </cols>
  <sheetData>
    <row r="1" spans="1:27" x14ac:dyDescent="0.25">
      <c r="A1" s="12" t="s">
        <v>18</v>
      </c>
      <c r="B1" s="12" t="s">
        <v>129</v>
      </c>
      <c r="C1" s="13" t="s">
        <v>19</v>
      </c>
      <c r="D1" s="13" t="s">
        <v>0</v>
      </c>
      <c r="E1" s="13" t="s">
        <v>1</v>
      </c>
      <c r="F1" s="13" t="s">
        <v>20</v>
      </c>
      <c r="G1" s="13" t="s">
        <v>21</v>
      </c>
      <c r="H1" s="14" t="s">
        <v>22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6.4" x14ac:dyDescent="0.25">
      <c r="A2" s="15" t="s">
        <v>2</v>
      </c>
      <c r="B2" s="15" t="s">
        <v>107</v>
      </c>
      <c r="C2" s="16" t="s">
        <v>23</v>
      </c>
      <c r="D2" s="16" t="s">
        <v>24</v>
      </c>
      <c r="E2" s="16" t="s">
        <v>72</v>
      </c>
      <c r="F2" s="16" t="s">
        <v>25</v>
      </c>
      <c r="G2" s="16" t="s">
        <v>127</v>
      </c>
      <c r="H2" s="17" t="s">
        <v>117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9.6" x14ac:dyDescent="0.25">
      <c r="A3" s="15" t="s">
        <v>3</v>
      </c>
      <c r="B3" s="15" t="s">
        <v>109</v>
      </c>
      <c r="C3" s="16" t="s">
        <v>26</v>
      </c>
      <c r="D3" s="16" t="s">
        <v>27</v>
      </c>
      <c r="E3" s="16" t="s">
        <v>28</v>
      </c>
      <c r="F3" s="16" t="s">
        <v>153</v>
      </c>
      <c r="G3" s="16" t="s">
        <v>155</v>
      </c>
      <c r="H3" s="17" t="s">
        <v>118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9.6" x14ac:dyDescent="0.25">
      <c r="A4" s="15" t="s">
        <v>4</v>
      </c>
      <c r="B4" s="15" t="s">
        <v>110</v>
      </c>
      <c r="C4" s="16" t="s">
        <v>29</v>
      </c>
      <c r="D4" s="16" t="s">
        <v>27</v>
      </c>
      <c r="E4" s="16" t="s">
        <v>30</v>
      </c>
      <c r="F4" s="16" t="s">
        <v>31</v>
      </c>
      <c r="G4" s="16" t="s">
        <v>155</v>
      </c>
      <c r="H4" s="17" t="s">
        <v>118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9.6" x14ac:dyDescent="0.25">
      <c r="A5" s="15" t="s">
        <v>5</v>
      </c>
      <c r="B5" s="15" t="s">
        <v>111</v>
      </c>
      <c r="C5" s="16" t="s">
        <v>32</v>
      </c>
      <c r="D5" s="16" t="s">
        <v>27</v>
      </c>
      <c r="E5" s="16" t="s">
        <v>33</v>
      </c>
      <c r="F5" s="16" t="s">
        <v>34</v>
      </c>
      <c r="G5" s="16" t="s">
        <v>155</v>
      </c>
      <c r="H5" s="17" t="s">
        <v>118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6.4" x14ac:dyDescent="0.25">
      <c r="A6" s="15" t="s">
        <v>6</v>
      </c>
      <c r="B6" s="15" t="s">
        <v>111</v>
      </c>
      <c r="C6" s="16" t="s">
        <v>35</v>
      </c>
      <c r="D6" s="16" t="s">
        <v>36</v>
      </c>
      <c r="E6" s="16" t="s">
        <v>33</v>
      </c>
      <c r="F6" s="16" t="s">
        <v>37</v>
      </c>
      <c r="G6" s="16" t="s">
        <v>156</v>
      </c>
      <c r="H6" s="17" t="s">
        <v>118</v>
      </c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6.4" x14ac:dyDescent="0.25">
      <c r="A7" s="15" t="s">
        <v>7</v>
      </c>
      <c r="B7" s="15" t="s">
        <v>109</v>
      </c>
      <c r="C7" s="16" t="s">
        <v>38</v>
      </c>
      <c r="D7" s="16" t="s">
        <v>39</v>
      </c>
      <c r="E7" s="16" t="s">
        <v>28</v>
      </c>
      <c r="F7" s="16" t="s">
        <v>40</v>
      </c>
      <c r="G7" s="16" t="s">
        <v>156</v>
      </c>
      <c r="H7" s="17" t="s">
        <v>118</v>
      </c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6.4" x14ac:dyDescent="0.25">
      <c r="A8" s="15" t="s">
        <v>8</v>
      </c>
      <c r="B8" s="15" t="s">
        <v>108</v>
      </c>
      <c r="C8" s="16" t="s">
        <v>41</v>
      </c>
      <c r="D8" s="16" t="s">
        <v>42</v>
      </c>
      <c r="E8" s="16" t="s">
        <v>43</v>
      </c>
      <c r="F8" s="16" t="s">
        <v>44</v>
      </c>
      <c r="G8" s="16" t="s">
        <v>127</v>
      </c>
      <c r="H8" s="17" t="s">
        <v>117</v>
      </c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9.6" x14ac:dyDescent="0.25">
      <c r="A9" s="15" t="s">
        <v>9</v>
      </c>
      <c r="B9" s="15" t="s">
        <v>114</v>
      </c>
      <c r="C9" s="16" t="s">
        <v>45</v>
      </c>
      <c r="D9" s="16" t="s">
        <v>46</v>
      </c>
      <c r="E9" s="16" t="s">
        <v>47</v>
      </c>
      <c r="F9" s="16" t="s">
        <v>48</v>
      </c>
      <c r="G9" s="16" t="s">
        <v>127</v>
      </c>
      <c r="H9" s="17" t="s">
        <v>117</v>
      </c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6.4" x14ac:dyDescent="0.25">
      <c r="A10" s="15" t="s">
        <v>11</v>
      </c>
      <c r="B10" s="15" t="s">
        <v>112</v>
      </c>
      <c r="C10" s="16" t="s">
        <v>49</v>
      </c>
      <c r="D10" s="16" t="s">
        <v>50</v>
      </c>
      <c r="E10" s="16" t="s">
        <v>51</v>
      </c>
      <c r="F10" s="16" t="s">
        <v>52</v>
      </c>
      <c r="G10" s="16" t="s">
        <v>127</v>
      </c>
      <c r="H10" s="17" t="s">
        <v>117</v>
      </c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9.6" x14ac:dyDescent="0.25">
      <c r="A11" s="15" t="s">
        <v>12</v>
      </c>
      <c r="B11" s="15" t="s">
        <v>113</v>
      </c>
      <c r="C11" s="16" t="s">
        <v>53</v>
      </c>
      <c r="D11" s="16" t="s">
        <v>54</v>
      </c>
      <c r="E11" s="16" t="s">
        <v>55</v>
      </c>
      <c r="F11" s="16" t="s">
        <v>56</v>
      </c>
      <c r="G11" s="16" t="s">
        <v>127</v>
      </c>
      <c r="H11" s="17" t="s">
        <v>117</v>
      </c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9.6" x14ac:dyDescent="0.25">
      <c r="A12" s="15" t="s">
        <v>13</v>
      </c>
      <c r="B12" s="15" t="s">
        <v>112</v>
      </c>
      <c r="C12" s="16" t="s">
        <v>57</v>
      </c>
      <c r="D12" s="16" t="s">
        <v>58</v>
      </c>
      <c r="E12" s="16" t="s">
        <v>73</v>
      </c>
      <c r="F12" s="16" t="s">
        <v>76</v>
      </c>
      <c r="G12" s="16" t="s">
        <v>127</v>
      </c>
      <c r="H12" s="17" t="s">
        <v>117</v>
      </c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9.6" x14ac:dyDescent="0.25">
      <c r="A13" s="15" t="s">
        <v>14</v>
      </c>
      <c r="B13" s="15" t="s">
        <v>106</v>
      </c>
      <c r="C13" s="16" t="s">
        <v>59</v>
      </c>
      <c r="D13" s="16" t="s">
        <v>60</v>
      </c>
      <c r="E13" s="16" t="s">
        <v>10</v>
      </c>
      <c r="F13" s="16" t="s">
        <v>61</v>
      </c>
      <c r="G13" s="16" t="s">
        <v>127</v>
      </c>
      <c r="H13" s="17" t="s">
        <v>117</v>
      </c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6.4" x14ac:dyDescent="0.25">
      <c r="A14" s="15" t="s">
        <v>15</v>
      </c>
      <c r="B14" s="15" t="s">
        <v>106</v>
      </c>
      <c r="C14" s="16" t="s">
        <v>62</v>
      </c>
      <c r="D14" s="16" t="s">
        <v>63</v>
      </c>
      <c r="E14" s="16" t="s">
        <v>64</v>
      </c>
      <c r="F14" s="16" t="s">
        <v>65</v>
      </c>
      <c r="G14" s="16" t="s">
        <v>127</v>
      </c>
      <c r="H14" s="17" t="s">
        <v>117</v>
      </c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6.4" x14ac:dyDescent="0.25">
      <c r="A15" s="15" t="s">
        <v>16</v>
      </c>
      <c r="B15" s="15" t="s">
        <v>131</v>
      </c>
      <c r="C15" s="16" t="s">
        <v>66</v>
      </c>
      <c r="D15" s="16" t="s">
        <v>67</v>
      </c>
      <c r="E15" s="16" t="s">
        <v>74</v>
      </c>
      <c r="F15" s="16" t="s">
        <v>68</v>
      </c>
      <c r="G15" s="16" t="s">
        <v>127</v>
      </c>
      <c r="H15" s="17" t="s">
        <v>117</v>
      </c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9.6" x14ac:dyDescent="0.25">
      <c r="A16" s="18" t="s">
        <v>17</v>
      </c>
      <c r="B16" s="18" t="s">
        <v>115</v>
      </c>
      <c r="C16" s="19" t="s">
        <v>69</v>
      </c>
      <c r="D16" s="19" t="s">
        <v>70</v>
      </c>
      <c r="E16" s="19" t="s">
        <v>75</v>
      </c>
      <c r="F16" s="19" t="s">
        <v>71</v>
      </c>
      <c r="G16" s="19" t="s">
        <v>127</v>
      </c>
      <c r="H16" s="20" t="s">
        <v>117</v>
      </c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6.4" x14ac:dyDescent="0.25">
      <c r="A17" s="53" t="s">
        <v>135</v>
      </c>
      <c r="B17" s="18" t="s">
        <v>106</v>
      </c>
      <c r="C17" s="19" t="s">
        <v>139</v>
      </c>
      <c r="D17" s="16" t="s">
        <v>141</v>
      </c>
      <c r="E17" s="19" t="s">
        <v>142</v>
      </c>
      <c r="F17" s="19" t="s">
        <v>143</v>
      </c>
      <c r="G17" s="19" t="s">
        <v>127</v>
      </c>
      <c r="H17" s="20" t="s">
        <v>117</v>
      </c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6.4" x14ac:dyDescent="0.25">
      <c r="A18" s="53" t="s">
        <v>136</v>
      </c>
      <c r="B18" s="18" t="s">
        <v>106</v>
      </c>
      <c r="C18" s="19" t="s">
        <v>138</v>
      </c>
      <c r="D18" s="16" t="s">
        <v>141</v>
      </c>
      <c r="E18" s="19" t="s">
        <v>145</v>
      </c>
      <c r="F18" s="19" t="s">
        <v>144</v>
      </c>
      <c r="G18" s="19" t="s">
        <v>127</v>
      </c>
      <c r="H18" s="20" t="s">
        <v>117</v>
      </c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9.6" x14ac:dyDescent="0.25">
      <c r="A19" s="53" t="s">
        <v>137</v>
      </c>
      <c r="B19" s="18" t="s">
        <v>106</v>
      </c>
      <c r="C19" s="54" t="s">
        <v>140</v>
      </c>
      <c r="D19" s="16" t="s">
        <v>141</v>
      </c>
      <c r="E19" s="54" t="s">
        <v>146</v>
      </c>
      <c r="F19" s="54" t="s">
        <v>147</v>
      </c>
      <c r="G19" s="19" t="s">
        <v>127</v>
      </c>
      <c r="H19" s="20" t="s">
        <v>117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9.6" x14ac:dyDescent="0.25">
      <c r="A20" s="64" t="s">
        <v>148</v>
      </c>
      <c r="B20" s="18" t="s">
        <v>106</v>
      </c>
      <c r="C20" s="65" t="s">
        <v>152</v>
      </c>
      <c r="D20" s="65" t="s">
        <v>141</v>
      </c>
      <c r="E20" s="65" t="s">
        <v>149</v>
      </c>
      <c r="F20" s="65" t="s">
        <v>150</v>
      </c>
      <c r="G20" s="65" t="s">
        <v>151</v>
      </c>
      <c r="H20" s="66" t="s">
        <v>118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C1F3-303A-4176-96EB-33088D9356C3}">
  <dimension ref="A1:AA1000"/>
  <sheetViews>
    <sheetView workbookViewId="0">
      <selection activeCell="K12" sqref="K12"/>
    </sheetView>
  </sheetViews>
  <sheetFormatPr defaultRowHeight="13.2" x14ac:dyDescent="0.25"/>
  <cols>
    <col min="1" max="1" width="7.109375" style="6" customWidth="1"/>
    <col min="2" max="2" width="8" style="6" customWidth="1"/>
    <col min="3" max="3" width="32.33203125" style="6" customWidth="1"/>
    <col min="4" max="4" width="12" style="6" customWidth="1"/>
    <col min="5" max="5" width="9.21875" style="6" customWidth="1"/>
    <col min="6" max="6" width="9" style="6" customWidth="1"/>
    <col min="7" max="7" width="12.77734375" style="6" customWidth="1"/>
    <col min="8" max="8" width="9.109375" style="6" customWidth="1"/>
    <col min="9" max="9" width="17.21875" style="6" customWidth="1"/>
    <col min="10" max="10" width="14.88671875" style="6" customWidth="1"/>
    <col min="11" max="11" width="11.6640625" style="50" customWidth="1"/>
    <col min="12" max="12" width="20.77734375" style="6" customWidth="1"/>
    <col min="13" max="16384" width="8.88671875" style="6"/>
  </cols>
  <sheetData>
    <row r="1" spans="1:27" ht="18" customHeight="1" x14ac:dyDescent="0.25">
      <c r="A1" s="60" t="s">
        <v>77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ht="14.4" customHeight="1" x14ac:dyDescent="0.25">
      <c r="A2" s="61" t="s">
        <v>101</v>
      </c>
      <c r="B2" s="61"/>
      <c r="C2" s="62" t="s">
        <v>103</v>
      </c>
      <c r="D2" s="62"/>
      <c r="E2" s="62"/>
      <c r="F2" s="61" t="s">
        <v>128</v>
      </c>
      <c r="G2" s="61"/>
      <c r="H2" s="62" t="s">
        <v>104</v>
      </c>
      <c r="I2" s="62"/>
      <c r="J2" s="62"/>
      <c r="K2" s="62"/>
      <c r="L2" s="6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ht="14.4" x14ac:dyDescent="0.25">
      <c r="A3" s="61" t="s">
        <v>102</v>
      </c>
      <c r="B3" s="61"/>
      <c r="C3" s="62" t="s">
        <v>105</v>
      </c>
      <c r="D3" s="62"/>
      <c r="E3" s="62"/>
      <c r="F3" s="61" t="s">
        <v>124</v>
      </c>
      <c r="G3" s="61"/>
      <c r="H3" s="63">
        <v>46179</v>
      </c>
      <c r="I3" s="63"/>
      <c r="J3" s="63"/>
      <c r="K3" s="63"/>
      <c r="L3" s="6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7" ht="36.6" customHeight="1" x14ac:dyDescent="0.25">
      <c r="A4" s="59" t="s">
        <v>125</v>
      </c>
      <c r="B4" s="59"/>
      <c r="C4" s="67"/>
      <c r="D4" s="67"/>
      <c r="E4" s="67"/>
      <c r="F4" s="67"/>
      <c r="G4" s="67"/>
      <c r="H4" s="67"/>
      <c r="I4" s="67"/>
      <c r="J4" s="67"/>
      <c r="K4" s="67"/>
      <c r="L4" s="6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7" ht="14.4" x14ac:dyDescent="0.25">
      <c r="A5" s="2"/>
      <c r="B5" s="7"/>
      <c r="C5" s="8"/>
      <c r="D5" s="2"/>
      <c r="E5" s="2"/>
      <c r="F5" s="2"/>
      <c r="G5" s="2"/>
      <c r="H5" s="2"/>
      <c r="I5" s="2"/>
      <c r="J5" s="2"/>
      <c r="K5" s="4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7" s="10" customFormat="1" ht="26.4" customHeight="1" x14ac:dyDescent="0.25">
      <c r="A6" s="27" t="s">
        <v>78</v>
      </c>
      <c r="B6" s="28" t="s">
        <v>129</v>
      </c>
      <c r="C6" s="28" t="s">
        <v>79</v>
      </c>
      <c r="D6" s="28" t="s">
        <v>116</v>
      </c>
      <c r="E6" s="28" t="s">
        <v>117</v>
      </c>
      <c r="F6" s="28" t="s">
        <v>118</v>
      </c>
      <c r="G6" s="28" t="s">
        <v>119</v>
      </c>
      <c r="H6" s="28" t="s">
        <v>120</v>
      </c>
      <c r="I6" s="28" t="s">
        <v>121</v>
      </c>
      <c r="J6" s="28" t="s">
        <v>122</v>
      </c>
      <c r="K6" s="68" t="s">
        <v>154</v>
      </c>
      <c r="L6" s="48" t="s">
        <v>123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4" x14ac:dyDescent="0.25">
      <c r="A7" s="29">
        <v>1</v>
      </c>
      <c r="B7" s="57" t="s">
        <v>106</v>
      </c>
      <c r="C7" s="30" t="s">
        <v>82</v>
      </c>
      <c r="D7" s="37">
        <f>SUM(Table2[[#This Row],[Đạt]:[Chưa kiểm thử]])</f>
        <v>6</v>
      </c>
      <c r="E7" s="31">
        <f>COUNTIFS(TestCase!$B:$B,$B7,TestCase!$H:$H,Table2[[#Headers],[Đạt]])</f>
        <v>5</v>
      </c>
      <c r="F7" s="31">
        <f>COUNTIFS(TestCase!$B:$B,$B7,TestCase!$H:$H,Table2[[#Headers],[Lỗi]])</f>
        <v>1</v>
      </c>
      <c r="G7" s="31">
        <f>COUNTIFS(TestCase!$B:$B,$B7,TestCase!$H:$H,Table2[[#Headers],[Bị chặn]])</f>
        <v>0</v>
      </c>
      <c r="H7" s="31">
        <f>COUNTIFS(TestCase!$B:$B,$B7,TestCase!$H:$H,Table2[[#Headers],[Bỏ qua]])</f>
        <v>0</v>
      </c>
      <c r="I7" s="31">
        <f>COUNTIFS(TestCase!$B:$B,$B7,TestCase!$H:$H,Table2[[#Headers],[Chưa kiểm thử]])</f>
        <v>0</v>
      </c>
      <c r="J7" s="38">
        <f>COUNTIF(TestCase!B:B,$B7)</f>
        <v>6</v>
      </c>
      <c r="K7" s="42">
        <f>Table2[[#This Row],[Đạt]]/Table2[[#This Row],[Tổng số]]</f>
        <v>0.83333333333333337</v>
      </c>
      <c r="L7" s="42">
        <f>Table2[[#This Row],[Đã kiểm thử]]/Table2[[#This Row],[Tổng số]]</f>
        <v>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 x14ac:dyDescent="0.25">
      <c r="A8" s="29">
        <v>2</v>
      </c>
      <c r="B8" s="57" t="s">
        <v>107</v>
      </c>
      <c r="C8" s="30" t="s">
        <v>83</v>
      </c>
      <c r="D8" s="31">
        <f>SUM(Table2[[#This Row],[Đạt]:[Chưa kiểm thử]])</f>
        <v>1</v>
      </c>
      <c r="E8" s="31">
        <f>COUNTIFS(TestCase!$B:$B,$B8,TestCase!$H:$H,Table2[[#Headers],[Đạt]])</f>
        <v>1</v>
      </c>
      <c r="F8" s="31">
        <f>COUNTIFS(TestCase!$B:$B,$B8,TestCase!$H:$H,Table2[[#Headers],[Lỗi]])</f>
        <v>0</v>
      </c>
      <c r="G8" s="31">
        <f>COUNTIFS(TestCase!$B:$B,$B8,TestCase!$H:$H,Table2[[#Headers],[Bị chặn]])</f>
        <v>0</v>
      </c>
      <c r="H8" s="31">
        <f>COUNTIFS(TestCase!$B:$B,$B8,TestCase!$H:$H,Table2[[#Headers],[Bỏ qua]])</f>
        <v>0</v>
      </c>
      <c r="I8" s="31">
        <f>COUNTIFS(TestCase!$B:$B,$B8,TestCase!$H:$H,Table2[[#Headers],[Chưa kiểm thử]])</f>
        <v>0</v>
      </c>
      <c r="J8" s="39">
        <f>COUNTIF(TestCase!B:B,$B8)</f>
        <v>1</v>
      </c>
      <c r="K8" s="44">
        <f>Table2[[#This Row],[Đạt]]/Table2[[#This Row],[Tổng số]]</f>
        <v>1</v>
      </c>
      <c r="L8" s="42">
        <f>Table2[[#This Row],[Đã kiểm thử]]/Table2[[#This Row],[Tổng số]]</f>
        <v>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 x14ac:dyDescent="0.25">
      <c r="A9" s="29">
        <v>3</v>
      </c>
      <c r="B9" s="57" t="s">
        <v>108</v>
      </c>
      <c r="C9" s="30" t="s">
        <v>85</v>
      </c>
      <c r="D9" s="31">
        <f>SUM(Table2[[#This Row],[Đạt]:[Chưa kiểm thử]])</f>
        <v>1</v>
      </c>
      <c r="E9" s="31">
        <f>COUNTIFS(TestCase!$B:$B,$B9,TestCase!$H:$H,Table2[[#Headers],[Đạt]])</f>
        <v>1</v>
      </c>
      <c r="F9" s="31">
        <f>COUNTIFS(TestCase!$B:$B,$B9,TestCase!$H:$H,Table2[[#Headers],[Lỗi]])</f>
        <v>0</v>
      </c>
      <c r="G9" s="31">
        <f>COUNTIFS(TestCase!$B:$B,$B9,TestCase!$H:$H,Table2[[#Headers],[Bị chặn]])</f>
        <v>0</v>
      </c>
      <c r="H9" s="31">
        <f>COUNTIFS(TestCase!$B:$B,$B9,TestCase!$H:$H,Table2[[#Headers],[Bỏ qua]])</f>
        <v>0</v>
      </c>
      <c r="I9" s="31">
        <f>COUNTIFS(TestCase!$B:$B,$B9,TestCase!$H:$H,Table2[[#Headers],[Chưa kiểm thử]])</f>
        <v>0</v>
      </c>
      <c r="J9" s="39">
        <f>COUNTIF(TestCase!B:B,$B9)</f>
        <v>1</v>
      </c>
      <c r="K9" s="44">
        <f>Table2[[#This Row],[Đạt]]/Table2[[#This Row],[Tổng số]]</f>
        <v>1</v>
      </c>
      <c r="L9" s="42">
        <f>Table2[[#This Row],[Đã kiểm thử]]/Table2[[#This Row],[Tổng số]]</f>
        <v>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 x14ac:dyDescent="0.25">
      <c r="A10" s="29">
        <v>4</v>
      </c>
      <c r="B10" s="57" t="s">
        <v>109</v>
      </c>
      <c r="C10" s="30" t="s">
        <v>87</v>
      </c>
      <c r="D10" s="31">
        <f>SUM(Table2[[#This Row],[Đạt]:[Chưa kiểm thử]])</f>
        <v>2</v>
      </c>
      <c r="E10" s="34">
        <f>COUNTIFS(TestCase!$B:$B,$B10,TestCase!$H:$H,Table2[[#Headers],[Đạt]])</f>
        <v>0</v>
      </c>
      <c r="F10" s="31">
        <f>COUNTIFS(TestCase!$B:$B,$B10,TestCase!$H:$H,Table2[[#Headers],[Lỗi]])</f>
        <v>2</v>
      </c>
      <c r="G10" s="31">
        <f>COUNTIFS(TestCase!$B:$B,$B10,TestCase!$H:$H,Table2[[#Headers],[Bị chặn]])</f>
        <v>0</v>
      </c>
      <c r="H10" s="31">
        <f>COUNTIFS(TestCase!$B:$B,$B10,TestCase!$H:$H,Table2[[#Headers],[Bỏ qua]])</f>
        <v>0</v>
      </c>
      <c r="I10" s="31">
        <f>COUNTIFS(TestCase!$B:$B,$B10,TestCase!$H:$H,Table2[[#Headers],[Chưa kiểm thử]])</f>
        <v>0</v>
      </c>
      <c r="J10" s="41">
        <f>COUNTIF(TestCase!B:B,$B10)</f>
        <v>2</v>
      </c>
      <c r="K10" s="43">
        <f>Table2[[#This Row],[Đạt]]/Table2[[#This Row],[Tổng số]]</f>
        <v>0</v>
      </c>
      <c r="L10" s="43">
        <f>Table2[[#This Row],[Đã kiểm thử]]/Table2[[#This Row],[Tổng số]]</f>
        <v>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 x14ac:dyDescent="0.25">
      <c r="A11" s="29">
        <v>5</v>
      </c>
      <c r="B11" s="57" t="s">
        <v>110</v>
      </c>
      <c r="C11" s="30" t="s">
        <v>89</v>
      </c>
      <c r="D11" s="31">
        <f>SUM(Table2[[#This Row],[Đạt]:[Chưa kiểm thử]])</f>
        <v>1</v>
      </c>
      <c r="E11" s="35">
        <f>COUNTIFS(TestCase!$B:$B,$B11,TestCase!$H:$H,Table2[[#Headers],[Đạt]])</f>
        <v>0</v>
      </c>
      <c r="F11" s="31">
        <f>COUNTIFS(TestCase!$B:$B,$B11,TestCase!$H:$H,Table2[[#Headers],[Lỗi]])</f>
        <v>1</v>
      </c>
      <c r="G11" s="31">
        <f>COUNTIFS(TestCase!$B:$B,$B11,TestCase!$H:$H,Table2[[#Headers],[Bị chặn]])</f>
        <v>0</v>
      </c>
      <c r="H11" s="31">
        <f>COUNTIFS(TestCase!$B:$B,$B11,TestCase!$H:$H,Table2[[#Headers],[Bỏ qua]])</f>
        <v>0</v>
      </c>
      <c r="I11" s="31">
        <f>COUNTIFS(TestCase!$B:$B,$B11,TestCase!$H:$H,Table2[[#Headers],[Chưa kiểm thử]])</f>
        <v>0</v>
      </c>
      <c r="J11" s="39">
        <f>COUNTIF(TestCase!B:B,$B11)</f>
        <v>1</v>
      </c>
      <c r="K11" s="44">
        <f>Table2[[#This Row],[Đạt]]/Table2[[#This Row],[Tổng số]]</f>
        <v>0</v>
      </c>
      <c r="L11" s="44">
        <f>Table2[[#This Row],[Đã kiểm thử]]/Table2[[#This Row],[Tổng số]]</f>
        <v>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 x14ac:dyDescent="0.25">
      <c r="A12" s="29">
        <v>6</v>
      </c>
      <c r="B12" s="57" t="s">
        <v>111</v>
      </c>
      <c r="C12" s="30" t="s">
        <v>91</v>
      </c>
      <c r="D12" s="31">
        <f>SUM(Table2[[#This Row],[Đạt]:[Chưa kiểm thử]])</f>
        <v>2</v>
      </c>
      <c r="E12" s="35">
        <f>COUNTIFS(TestCase!$B:$B,$B12,TestCase!$H:$H,Table2[[#Headers],[Đạt]])</f>
        <v>0</v>
      </c>
      <c r="F12" s="31">
        <f>COUNTIFS(TestCase!$B:$B,$B12,TestCase!$H:$H,Table2[[#Headers],[Lỗi]])</f>
        <v>2</v>
      </c>
      <c r="G12" s="31">
        <f>COUNTIFS(TestCase!$B:$B,$B12,TestCase!$H:$H,Table2[[#Headers],[Bị chặn]])</f>
        <v>0</v>
      </c>
      <c r="H12" s="31">
        <f>COUNTIFS(TestCase!$B:$B,$B12,TestCase!$H:$H,Table2[[#Headers],[Bỏ qua]])</f>
        <v>0</v>
      </c>
      <c r="I12" s="31">
        <f>COUNTIFS(TestCase!$B:$B,$B12,TestCase!$H:$H,Table2[[#Headers],[Chưa kiểm thử]])</f>
        <v>0</v>
      </c>
      <c r="J12" s="39">
        <f>COUNTIF(TestCase!B:B,$B12)</f>
        <v>2</v>
      </c>
      <c r="K12" s="44">
        <f>Table2[[#This Row],[Đạt]]/Table2[[#This Row],[Tổng số]]</f>
        <v>0</v>
      </c>
      <c r="L12" s="44">
        <f>Table2[[#This Row],[Đã kiểm thử]]/Table2[[#This Row],[Tổng số]]</f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 x14ac:dyDescent="0.25">
      <c r="A13" s="29">
        <v>7</v>
      </c>
      <c r="B13" s="57" t="s">
        <v>112</v>
      </c>
      <c r="C13" s="30" t="s">
        <v>93</v>
      </c>
      <c r="D13" s="31">
        <f>SUM(Table2[[#This Row],[Đạt]:[Chưa kiểm thử]])</f>
        <v>2</v>
      </c>
      <c r="E13" s="35">
        <f>COUNTIFS(TestCase!$B:$B,$B13,TestCase!$H:$H,Table2[[#Headers],[Đạt]])</f>
        <v>2</v>
      </c>
      <c r="F13" s="31">
        <f>COUNTIFS(TestCase!$B:$B,$B13,TestCase!$H:$H,Table2[[#Headers],[Lỗi]])</f>
        <v>0</v>
      </c>
      <c r="G13" s="31">
        <f>COUNTIFS(TestCase!$B:$B,$B13,TestCase!$H:$H,Table2[[#Headers],[Bị chặn]])</f>
        <v>0</v>
      </c>
      <c r="H13" s="31">
        <f>COUNTIFS(TestCase!$B:$B,$B13,TestCase!$H:$H,Table2[[#Headers],[Bỏ qua]])</f>
        <v>0</v>
      </c>
      <c r="I13" s="31">
        <f>COUNTIFS(TestCase!$B:$B,$B13,TestCase!$H:$H,Table2[[#Headers],[Chưa kiểm thử]])</f>
        <v>0</v>
      </c>
      <c r="J13" s="39">
        <f>COUNTIF(TestCase!B:B,$B13)</f>
        <v>2</v>
      </c>
      <c r="K13" s="44">
        <f>Table2[[#This Row],[Đạt]]/Table2[[#This Row],[Tổng số]]</f>
        <v>1</v>
      </c>
      <c r="L13" s="44">
        <f>Table2[[#This Row],[Đã kiểm thử]]/Table2[[#This Row],[Tổng số]]</f>
        <v>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 x14ac:dyDescent="0.25">
      <c r="A14" s="29">
        <v>8</v>
      </c>
      <c r="B14" s="57" t="s">
        <v>113</v>
      </c>
      <c r="C14" s="30" t="s">
        <v>95</v>
      </c>
      <c r="D14" s="31">
        <f>SUM(Table2[[#This Row],[Đạt]:[Chưa kiểm thử]])</f>
        <v>1</v>
      </c>
      <c r="E14" s="35">
        <f>COUNTIFS(TestCase!$B:$B,$B14,TestCase!$H:$H,Table2[[#Headers],[Đạt]])</f>
        <v>1</v>
      </c>
      <c r="F14" s="31">
        <f>COUNTIFS(TestCase!$B:$B,$B14,TestCase!$H:$H,Table2[[#Headers],[Lỗi]])</f>
        <v>0</v>
      </c>
      <c r="G14" s="31">
        <f>COUNTIFS(TestCase!$B:$B,$B14,TestCase!$H:$H,Table2[[#Headers],[Bị chặn]])</f>
        <v>0</v>
      </c>
      <c r="H14" s="31">
        <f>COUNTIFS(TestCase!$B:$B,$B14,TestCase!$H:$H,Table2[[#Headers],[Bỏ qua]])</f>
        <v>0</v>
      </c>
      <c r="I14" s="31">
        <f>COUNTIFS(TestCase!$B:$B,$B14,TestCase!$H:$H,Table2[[#Headers],[Chưa kiểm thử]])</f>
        <v>0</v>
      </c>
      <c r="J14" s="39">
        <f>COUNTIF(TestCase!B:B,$B14)</f>
        <v>1</v>
      </c>
      <c r="K14" s="44">
        <f>Table2[[#This Row],[Đạt]]/Table2[[#This Row],[Tổng số]]</f>
        <v>1</v>
      </c>
      <c r="L14" s="44">
        <f>Table2[[#This Row],[Đã kiểm thử]]/Table2[[#This Row],[Tổng số]]</f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 x14ac:dyDescent="0.25">
      <c r="A15" s="29">
        <v>9</v>
      </c>
      <c r="B15" s="57" t="s">
        <v>114</v>
      </c>
      <c r="C15" s="30" t="s">
        <v>97</v>
      </c>
      <c r="D15" s="31">
        <f>SUM(Table2[[#This Row],[Đạt]:[Chưa kiểm thử]])</f>
        <v>1</v>
      </c>
      <c r="E15" s="35">
        <f>COUNTIFS(TestCase!$B:$B,$B15,TestCase!$H:$H,Table2[[#Headers],[Đạt]])</f>
        <v>1</v>
      </c>
      <c r="F15" s="31">
        <f>COUNTIFS(TestCase!$B:$B,$B15,TestCase!$H:$H,Table2[[#Headers],[Lỗi]])</f>
        <v>0</v>
      </c>
      <c r="G15" s="31">
        <f>COUNTIFS(TestCase!$B:$B,$B15,TestCase!$H:$H,Table2[[#Headers],[Bị chặn]])</f>
        <v>0</v>
      </c>
      <c r="H15" s="31">
        <f>COUNTIFS(TestCase!$B:$B,$B15,TestCase!$H:$H,Table2[[#Headers],[Bỏ qua]])</f>
        <v>0</v>
      </c>
      <c r="I15" s="31">
        <f>COUNTIFS(TestCase!$B:$B,$B15,TestCase!$H:$H,Table2[[#Headers],[Chưa kiểm thử]])</f>
        <v>0</v>
      </c>
      <c r="J15" s="39">
        <f>COUNTIF(TestCase!B:B,$B15)</f>
        <v>1</v>
      </c>
      <c r="K15" s="44">
        <f>Table2[[#This Row],[Đạt]]/Table2[[#This Row],[Tổng số]]</f>
        <v>1</v>
      </c>
      <c r="L15" s="44">
        <f>Table2[[#This Row],[Đã kiểm thử]]/Table2[[#This Row],[Tổng số]]</f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 x14ac:dyDescent="0.25">
      <c r="A16" s="29">
        <v>10</v>
      </c>
      <c r="B16" s="57" t="s">
        <v>115</v>
      </c>
      <c r="C16" s="33" t="s">
        <v>99</v>
      </c>
      <c r="D16" s="31">
        <f>SUM(Table2[[#This Row],[Đạt]:[Chưa kiểm thử]])</f>
        <v>1</v>
      </c>
      <c r="E16" s="35">
        <f>COUNTIFS(TestCase!$B:$B,$B16,TestCase!$H:$H,Table2[[#Headers],[Đạt]])</f>
        <v>1</v>
      </c>
      <c r="F16" s="31">
        <f>COUNTIFS(TestCase!$B:$B,$B16,TestCase!$H:$H,Table2[[#Headers],[Lỗi]])</f>
        <v>0</v>
      </c>
      <c r="G16" s="31">
        <f>COUNTIFS(TestCase!$B:$B,$B16,TestCase!$H:$H,Table2[[#Headers],[Bị chặn]])</f>
        <v>0</v>
      </c>
      <c r="H16" s="31">
        <f>COUNTIFS(TestCase!$B:$B,$B16,TestCase!$H:$H,Table2[[#Headers],[Bỏ qua]])</f>
        <v>0</v>
      </c>
      <c r="I16" s="31">
        <f>COUNTIFS(TestCase!$B:$B,$B16,TestCase!$H:$H,Table2[[#Headers],[Chưa kiểm thử]])</f>
        <v>0</v>
      </c>
      <c r="J16" s="39">
        <f>COUNTIF(TestCase!B:B,$B16)</f>
        <v>1</v>
      </c>
      <c r="K16" s="44">
        <f>Table2[[#This Row],[Đạt]]/Table2[[#This Row],[Tổng số]]</f>
        <v>1</v>
      </c>
      <c r="L16" s="45">
        <f>Table2[[#This Row],[Đã kiểm thử]]/Table2[[#This Row],[Tổng số]]</f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 x14ac:dyDescent="0.25">
      <c r="A17" s="32">
        <v>11</v>
      </c>
      <c r="B17" s="58" t="s">
        <v>131</v>
      </c>
      <c r="C17" s="33" t="s">
        <v>132</v>
      </c>
      <c r="D17" s="31">
        <f>SUM(Table2[[#This Row],[Đạt]:[Chưa kiểm thử]])</f>
        <v>1</v>
      </c>
      <c r="E17" s="36">
        <f>COUNTIFS(TestCase!$B:$B,$B17,TestCase!$H:$H,Table2[[#Headers],[Đạt]])</f>
        <v>1</v>
      </c>
      <c r="F17" s="31">
        <f>COUNTIFS(TestCase!$B:$B,$B17,TestCase!$H:$H,Table2[[#Headers],[Lỗi]])</f>
        <v>0</v>
      </c>
      <c r="G17" s="31">
        <f>COUNTIFS(TestCase!$B:$B,$B17,TestCase!$H:$H,Table2[[#Headers],[Bị chặn]])</f>
        <v>0</v>
      </c>
      <c r="H17" s="31">
        <f>COUNTIFS(TestCase!$B:$B,$B17,TestCase!$H:$H,Table2[[#Headers],[Bỏ qua]])</f>
        <v>0</v>
      </c>
      <c r="I17" s="31">
        <f>COUNTIFS(TestCase!$B:$B,$B17,TestCase!$H:$H,Table2[[#Headers],[Chưa kiểm thử]])</f>
        <v>0</v>
      </c>
      <c r="J17" s="40">
        <f>COUNTIF(TestCase!B:B,$B17)</f>
        <v>1</v>
      </c>
      <c r="K17" s="46">
        <f>Table2[[#This Row],[Đạt]]/Table2[[#This Row],[Tổng số]]</f>
        <v>1</v>
      </c>
      <c r="L17" s="46">
        <f>Table2[[#This Row],[Đã kiểm thử]]/Table2[[#This Row],[Tổng số]]</f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6" x14ac:dyDescent="0.25">
      <c r="A18" s="2"/>
      <c r="B18" s="2"/>
      <c r="C18" s="11" t="s">
        <v>126</v>
      </c>
      <c r="D18" s="11">
        <f>SUM(Table2[[#All],[Đã kiểm thử]])</f>
        <v>19</v>
      </c>
      <c r="E18" s="11">
        <f>SUM(Table2[[#All],[Đạt]])</f>
        <v>13</v>
      </c>
      <c r="F18" s="11">
        <f>SUM(Table2[[#All],[Lỗi]])</f>
        <v>6</v>
      </c>
      <c r="G18" s="11">
        <f>SUM(Table2[[#All],[Bị chặn]])</f>
        <v>0</v>
      </c>
      <c r="H18" s="11">
        <f>SUM(Table2[[#All],[Bỏ qua]])</f>
        <v>0</v>
      </c>
      <c r="I18" s="11">
        <f>SUM(Table2[[#All],[Chưa kiểm thử]])</f>
        <v>0</v>
      </c>
      <c r="J18" s="11">
        <f>SUM(Table2[[#All],[Tổng số]])</f>
        <v>19</v>
      </c>
      <c r="K18" s="69">
        <f>AVERAGE(Table2[Tỉ lệ đạt])</f>
        <v>0.71212121212121215</v>
      </c>
      <c r="L18" s="49">
        <f>AVERAGE(Table2[Tỷ lệ bao phủ kiểm thử])</f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4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4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4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4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4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4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4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4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4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4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4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4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4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4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4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4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4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4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4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4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4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4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4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4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4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4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4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4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4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4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4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4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4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4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4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4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4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4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4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4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4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4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4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4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4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4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4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4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4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4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47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4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4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47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47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4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47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47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4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4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4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4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4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4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4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4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4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4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4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4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4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4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4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4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4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4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4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4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47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47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4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4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4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4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4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4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4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4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4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4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4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4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4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4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4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4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4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47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47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47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47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4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47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47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47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4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47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47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47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47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47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47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47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47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47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47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47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47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47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47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47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47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47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47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47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47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47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47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47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47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47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47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47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47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47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47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47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47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47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47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47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47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47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47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47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47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47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47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47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47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47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47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47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47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47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47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47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47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47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47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47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47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47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47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47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47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47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47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47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47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47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47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47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47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47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47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47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47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47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47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47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47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47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47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47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47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47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47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47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47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47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47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47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47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47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47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47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47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47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47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47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47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47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47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47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47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47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47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47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47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47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47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47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47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47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47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47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47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47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47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47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47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47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47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47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47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47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47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47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47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47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47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47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47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47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47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47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47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47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47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47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47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47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47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47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47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47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47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47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47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47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47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47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47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47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47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47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47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47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47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47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47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47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47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47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47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47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47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47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47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47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47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47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47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47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47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47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47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47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47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47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47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47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47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47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47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47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47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47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47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47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47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47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47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47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47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47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47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47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47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47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47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47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47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47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47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47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47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47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47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47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47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47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47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47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47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47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47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47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47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47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47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47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47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47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47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47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47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47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47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47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47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47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47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47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47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47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47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47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47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47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4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47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4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47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47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47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47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47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47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47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47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47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47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47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47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47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47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47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47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47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47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47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47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47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47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47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47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47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47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47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47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47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47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47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47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47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47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4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47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4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47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47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47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47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47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47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47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47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47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4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47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47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47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47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47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47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47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47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47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47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47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47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47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47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47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47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47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47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47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47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47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47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47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47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4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47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4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47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47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47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47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47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47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47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47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47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47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47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4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4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4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4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4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4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4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4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4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4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4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4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4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4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4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4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4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4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4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4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4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4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4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4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4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4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4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4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4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4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4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4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4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4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4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4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4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4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4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4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4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4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4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4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4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4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4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4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4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4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4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4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4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4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4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4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4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4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4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4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4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4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4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4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4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4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4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4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4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4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4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4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4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4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4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4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4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4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4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4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4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4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4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4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4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4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4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4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4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4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4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4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4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4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4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4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4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4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4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4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4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4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4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4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4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4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4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4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4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4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4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4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4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4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4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4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4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4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4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4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4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4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4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4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4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4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4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4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4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4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4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4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4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4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4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4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4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4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4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4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4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4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4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4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4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4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4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4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4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4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4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4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4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4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4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4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4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4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4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4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4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4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4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4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4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4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4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4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4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4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4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4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4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4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4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4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4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4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4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4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4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4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4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4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4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4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4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4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4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4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4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4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4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4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4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4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4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4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4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4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4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4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4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4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4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4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4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4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4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4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4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4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4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4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4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4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4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4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4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4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4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4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4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4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4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4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4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4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4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4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4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4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4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4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4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4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4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4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4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4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4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4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4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4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4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4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4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4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4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4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4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4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4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4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4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4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4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4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4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4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4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4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4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4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4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4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4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4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4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4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4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4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4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4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4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4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4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4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4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4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4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4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4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4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4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4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4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4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4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4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4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4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4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4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4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4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4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4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4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4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4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4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4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4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4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4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4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4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4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4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4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4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4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4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4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4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4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4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4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4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4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4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4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4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4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4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4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4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4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4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4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4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4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4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4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4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4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4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4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4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4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4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4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4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4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4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4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4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4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4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4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4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4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4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4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4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4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4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4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4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4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4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4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4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4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4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4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4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4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4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4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4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4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4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4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4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4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4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4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4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4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4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4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4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4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4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4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4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4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4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4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4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4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4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4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4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4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4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4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4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4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4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4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4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4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4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4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4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4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4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4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4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4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4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4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4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4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4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4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4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4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4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4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4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4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4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4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4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4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4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4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4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4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4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4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4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4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4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4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4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4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4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4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4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4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4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4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4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4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4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4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4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4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4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4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4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4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4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4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4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4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4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47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47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47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47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47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47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47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47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47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47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47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47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47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47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47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47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47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47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47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47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47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47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47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47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47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47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47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47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47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47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47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47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47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47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47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47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47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47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47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47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47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47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47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47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47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47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47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47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47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47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47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47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47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47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47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47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47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47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47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47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47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47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47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47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47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47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47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47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47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47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47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47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4:B4"/>
    <mergeCell ref="A2:B2"/>
    <mergeCell ref="C2:E2"/>
    <mergeCell ref="F2:G2"/>
    <mergeCell ref="A3:B3"/>
    <mergeCell ref="C3:E3"/>
    <mergeCell ref="F3:G3"/>
    <mergeCell ref="H2:L2"/>
    <mergeCell ref="A1:L1"/>
    <mergeCell ref="H3:L3"/>
    <mergeCell ref="C4:L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TestCase</vt:lpstr>
      <vt:lpstr>TestSummaryReport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MachQuocTan</cp:lastModifiedBy>
  <dcterms:modified xsi:type="dcterms:W3CDTF">2026-06-07T20:29:57Z</dcterms:modified>
</cp:coreProperties>
</file>